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filterPrivacy="1" defaultThemeVersion="124226"/>
  <xr:revisionPtr revIDLastSave="0" documentId="13_ncr:1_{D46102CF-E9BA-46DA-80DD-5F87FF751734}" xr6:coauthVersionLast="45" xr6:coauthVersionMax="45" xr10:uidLastSave="{00000000-0000-0000-0000-000000000000}"/>
  <bookViews>
    <workbookView xWindow="-120" yWindow="480" windowWidth="20730" windowHeight="11160" activeTab="1" xr2:uid="{00000000-000D-0000-FFFF-FFFF00000000}"/>
  </bookViews>
  <sheets>
    <sheet name="Maximisation of Profit" sheetId="1" r:id="rId1"/>
    <sheet name="Minimisation of Cost" sheetId="2" r:id="rId2"/>
  </sheets>
  <definedNames>
    <definedName name="solver_adj" localSheetId="0" hidden="1">'Maximisation of Profit'!$C$3:$U$3</definedName>
    <definedName name="solver_adj" localSheetId="1" hidden="1">'Minimisation of Cost'!$C$3:$U$3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2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'Maximisation of Profit'!$V$21</definedName>
    <definedName name="solver_lhs1" localSheetId="1" hidden="1">'Minimisation of Cost'!$L$3:$U$3</definedName>
    <definedName name="solver_lhs2" localSheetId="0" hidden="1">'Maximisation of Profit'!$V$22</definedName>
    <definedName name="solver_lhs2" localSheetId="1" hidden="1">'Minimisation of Cost'!$V$6</definedName>
    <definedName name="solver_lhs3" localSheetId="0" hidden="1">'Maximisation of Profit'!$V$7:$V$22</definedName>
    <definedName name="solver_lhs3" localSheetId="1" hidden="1">'Minimisation of Cost'!$V$7:$V$22</definedName>
    <definedName name="solver_lhs4" localSheetId="0" hidden="1">'Maximisation of Profit'!$V$7:$V$22</definedName>
    <definedName name="solver_lhs5" localSheetId="0" hidden="1">'Maximisation of Profit'!$V$20</definedName>
    <definedName name="solver_lhs6" localSheetId="0" hidden="1">'Maximisation of Profit'!$L$3:$U$3</definedName>
    <definedName name="solver_lhs7" localSheetId="0" hidden="1">'Maximisation of Profit'!$V$6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7</definedName>
    <definedName name="solver_num" localSheetId="1" hidden="1">3</definedName>
    <definedName name="solver_nwt" localSheetId="0" hidden="1">1</definedName>
    <definedName name="solver_nwt" localSheetId="1" hidden="1">1</definedName>
    <definedName name="solver_opt" localSheetId="0" hidden="1">'Maximisation of Profit'!$V$5</definedName>
    <definedName name="solver_opt" localSheetId="1" hidden="1">'Minimisation of Cost'!$V$5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2</definedName>
    <definedName name="solver_rel1" localSheetId="0" hidden="1">2</definedName>
    <definedName name="solver_rel1" localSheetId="1" hidden="1">5</definedName>
    <definedName name="solver_rel2" localSheetId="0" hidden="1">2</definedName>
    <definedName name="solver_rel2" localSheetId="1" hidden="1">3</definedName>
    <definedName name="solver_rel3" localSheetId="0" hidden="1">2</definedName>
    <definedName name="solver_rel3" localSheetId="1" hidden="1">2</definedName>
    <definedName name="solver_rel4" localSheetId="0" hidden="1">2</definedName>
    <definedName name="solver_rel5" localSheetId="0" hidden="1">2</definedName>
    <definedName name="solver_rel6" localSheetId="0" hidden="1">5</definedName>
    <definedName name="solver_rel7" localSheetId="0" hidden="1">1</definedName>
    <definedName name="solver_rhs1" localSheetId="0" hidden="1">'Maximisation of Profit'!$X$21</definedName>
    <definedName name="solver_rhs1" localSheetId="1" hidden="1">binary</definedName>
    <definedName name="solver_rhs2" localSheetId="0" hidden="1">1</definedName>
    <definedName name="solver_rhs2" localSheetId="1" hidden="1">'Minimisation of Cost'!$X$6</definedName>
    <definedName name="solver_rhs3" localSheetId="0" hidden="1">'Maximisation of Profit'!$X$7:$X$22</definedName>
    <definedName name="solver_rhs3" localSheetId="1" hidden="1">'Minimisation of Cost'!$X$7:$X$22</definedName>
    <definedName name="solver_rhs4" localSheetId="0" hidden="1">'Maximisation of Profit'!$X$7:$X$22</definedName>
    <definedName name="solver_rhs5" localSheetId="0" hidden="1">'Maximisation of Profit'!$X$20</definedName>
    <definedName name="solver_rhs6" localSheetId="0" hidden="1">binary</definedName>
    <definedName name="solver_rhs7" localSheetId="0" hidden="1">'Maximisation of Profit'!$X$6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11" i="1" l="1"/>
  <c r="V11" i="2" l="1"/>
  <c r="V22" i="2"/>
  <c r="V21" i="2"/>
  <c r="V20" i="2"/>
  <c r="V19" i="2"/>
  <c r="V18" i="2"/>
  <c r="V17" i="2"/>
  <c r="V16" i="2"/>
  <c r="V15" i="2"/>
  <c r="V14" i="2"/>
  <c r="V13" i="2"/>
  <c r="V12" i="2"/>
  <c r="V10" i="2"/>
  <c r="V9" i="2"/>
  <c r="V8" i="2"/>
  <c r="V7" i="2"/>
  <c r="V6" i="2"/>
  <c r="V5" i="2"/>
  <c r="V20" i="1"/>
  <c r="V22" i="1"/>
  <c r="V21" i="1"/>
  <c r="V16" i="1" l="1"/>
  <c r="V17" i="1"/>
  <c r="V18" i="1"/>
  <c r="V19" i="1"/>
  <c r="V6" i="1"/>
  <c r="V7" i="1"/>
  <c r="V8" i="1"/>
  <c r="V9" i="1"/>
  <c r="V10" i="1"/>
  <c r="V12" i="1"/>
  <c r="V13" i="1"/>
  <c r="V14" i="1"/>
  <c r="V15" i="1"/>
  <c r="V5" i="1"/>
</calcChain>
</file>

<file path=xl/sharedStrings.xml><?xml version="1.0" encoding="utf-8"?>
<sst xmlns="http://schemas.openxmlformats.org/spreadsheetml/2006/main" count="110" uniqueCount="43">
  <si>
    <t>X1</t>
  </si>
  <si>
    <t>x2</t>
  </si>
  <si>
    <t>x3</t>
  </si>
  <si>
    <t>X4</t>
  </si>
  <si>
    <t>Zc</t>
  </si>
  <si>
    <t>Zws</t>
  </si>
  <si>
    <t>Zwt</t>
  </si>
  <si>
    <t>Zf</t>
  </si>
  <si>
    <t>X11</t>
  </si>
  <si>
    <t>X12</t>
  </si>
  <si>
    <t>X13</t>
  </si>
  <si>
    <t>X21</t>
  </si>
  <si>
    <t>X22</t>
  </si>
  <si>
    <t>X23</t>
  </si>
  <si>
    <t>X31</t>
  </si>
  <si>
    <t>X32</t>
  </si>
  <si>
    <t>X33</t>
  </si>
  <si>
    <t>X44</t>
  </si>
  <si>
    <t>Zl</t>
  </si>
  <si>
    <t>&lt;=</t>
  </si>
  <si>
    <t>=</t>
  </si>
  <si>
    <t>&gt;=</t>
  </si>
  <si>
    <t>Obj Fun</t>
  </si>
  <si>
    <t>Cost of seed</t>
  </si>
  <si>
    <t>Cost of water</t>
  </si>
  <si>
    <t>Cost of labor</t>
  </si>
  <si>
    <t>Waste cost</t>
  </si>
  <si>
    <t>Cost of fertilizer</t>
  </si>
  <si>
    <t>Total prod of Wheat</t>
  </si>
  <si>
    <t>Total prod of Soybean</t>
  </si>
  <si>
    <t>Total prod Sugar cane</t>
  </si>
  <si>
    <t>Total  prod of Beet root</t>
  </si>
  <si>
    <t>Land constraint 1</t>
  </si>
  <si>
    <t>Land constraint 2</t>
  </si>
  <si>
    <t>Land constraint 3</t>
  </si>
  <si>
    <t>Land constraint 4</t>
  </si>
  <si>
    <t>Land constraint 5</t>
  </si>
  <si>
    <t>Land constraint 6</t>
  </si>
  <si>
    <t>Land constraint 7</t>
  </si>
  <si>
    <t>Selling Price</t>
  </si>
  <si>
    <t xml:space="preserve">Budget </t>
  </si>
  <si>
    <t>Case 1 Model for Maximum Profit</t>
  </si>
  <si>
    <t xml:space="preserve">Case 2 Model For Minimum 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</si>
</sst>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Tw Cen MT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1" fillId="0" borderId="10" xfId="0" applyFont="1" applyFill="1" applyBorder="1" applyAlignment="1">
      <alignment horizontal="center" wrapText="1" readingOrder="1"/>
    </xf>
    <xf numFmtId="0" fontId="1" fillId="0" borderId="11" xfId="0" applyFont="1" applyFill="1" applyBorder="1" applyAlignment="1">
      <alignment horizontal="center" wrapText="1" readingOrder="1"/>
    </xf>
    <xf numFmtId="0" fontId="1" fillId="0" borderId="9" xfId="0" applyFont="1" applyFill="1" applyBorder="1" applyAlignment="1">
      <alignment horizontal="center" wrapText="1" readingOrder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22"/>
  <sheetViews>
    <sheetView workbookViewId="0">
      <selection activeCell="Z4" sqref="Z4"/>
    </sheetView>
  </sheetViews>
  <sheetFormatPr defaultRowHeight="15" x14ac:dyDescent="0.25"/>
  <cols>
    <col min="1" max="1" width="3.85546875" style="12" customWidth="1"/>
    <col min="2" max="2" width="16.7109375" style="11" bestFit="1" customWidth="1"/>
    <col min="3" max="7" width="5" style="12" bestFit="1" customWidth="1"/>
    <col min="8" max="8" width="6" style="12" bestFit="1" customWidth="1"/>
    <col min="9" max="11" width="5" style="12" bestFit="1" customWidth="1"/>
    <col min="12" max="13" width="4.140625" style="12" bestFit="1" customWidth="1"/>
    <col min="14" max="14" width="5" style="12" bestFit="1" customWidth="1"/>
    <col min="15" max="15" width="6" style="12" bestFit="1" customWidth="1"/>
    <col min="16" max="16" width="4.140625" style="12" bestFit="1" customWidth="1"/>
    <col min="17" max="17" width="6" style="12" bestFit="1" customWidth="1"/>
    <col min="18" max="18" width="4.140625" style="12" bestFit="1" customWidth="1"/>
    <col min="19" max="19" width="7" style="12" bestFit="1" customWidth="1"/>
    <col min="20" max="20" width="5" style="12" bestFit="1" customWidth="1"/>
    <col min="21" max="21" width="4.140625" style="12" bestFit="1" customWidth="1"/>
    <col min="22" max="22" width="12.7109375" style="12" bestFit="1" customWidth="1"/>
    <col min="23" max="23" width="3" style="12" bestFit="1" customWidth="1"/>
    <col min="24" max="24" width="6" style="12" bestFit="1" customWidth="1"/>
    <col min="25" max="16384" width="9.140625" style="12"/>
  </cols>
  <sheetData>
    <row r="1" spans="2:25" x14ac:dyDescent="0.25">
      <c r="F1" s="20" t="s">
        <v>41</v>
      </c>
      <c r="G1" s="21"/>
      <c r="H1" s="21"/>
      <c r="I1" s="21"/>
      <c r="J1" s="21"/>
      <c r="K1" s="21"/>
      <c r="L1" s="22"/>
    </row>
    <row r="2" spans="2:25" ht="15.75" thickBot="1" x14ac:dyDescent="0.3">
      <c r="F2" s="23"/>
      <c r="G2" s="19"/>
      <c r="H2" s="19"/>
      <c r="I2" s="19"/>
      <c r="J2" s="19"/>
      <c r="K2" s="19"/>
      <c r="L2" s="24"/>
    </row>
    <row r="3" spans="2:25" x14ac:dyDescent="0.25">
      <c r="B3" s="14"/>
      <c r="C3" s="2">
        <v>19.999999999999975</v>
      </c>
      <c r="D3" s="2">
        <v>9.0999999999999694</v>
      </c>
      <c r="E3" s="2">
        <v>13.999999999999977</v>
      </c>
      <c r="F3" s="2">
        <v>2.0000000000000027</v>
      </c>
      <c r="G3" s="2">
        <v>8059.9999999999991</v>
      </c>
      <c r="H3" s="2">
        <v>11384.999999999995</v>
      </c>
      <c r="I3" s="2">
        <v>7500</v>
      </c>
      <c r="J3" s="2">
        <v>9187.9999999999873</v>
      </c>
      <c r="K3" s="2">
        <v>2836.9999999999973</v>
      </c>
      <c r="L3" s="2">
        <v>1</v>
      </c>
      <c r="M3" s="2">
        <v>0</v>
      </c>
      <c r="N3" s="2">
        <v>0</v>
      </c>
      <c r="O3" s="2">
        <v>0</v>
      </c>
      <c r="P3" s="2">
        <v>0</v>
      </c>
      <c r="Q3" s="2">
        <v>1</v>
      </c>
      <c r="R3" s="2">
        <v>0</v>
      </c>
      <c r="S3" s="2">
        <v>1</v>
      </c>
      <c r="T3" s="2">
        <v>0</v>
      </c>
      <c r="U3" s="3">
        <v>1</v>
      </c>
      <c r="V3" s="4"/>
      <c r="W3" s="4"/>
      <c r="X3" s="4"/>
      <c r="Y3" s="5"/>
    </row>
    <row r="4" spans="2:25" ht="15.75" thickBot="1" x14ac:dyDescent="0.3">
      <c r="B4" s="15"/>
      <c r="C4" s="6" t="s">
        <v>0</v>
      </c>
      <c r="D4" s="6" t="s">
        <v>1</v>
      </c>
      <c r="E4" s="6" t="s">
        <v>2</v>
      </c>
      <c r="F4" s="6" t="s">
        <v>3</v>
      </c>
      <c r="G4" s="6" t="s">
        <v>4</v>
      </c>
      <c r="H4" s="6" t="s">
        <v>6</v>
      </c>
      <c r="I4" s="6" t="s">
        <v>18</v>
      </c>
      <c r="J4" s="6" t="s">
        <v>5</v>
      </c>
      <c r="K4" s="6" t="s">
        <v>7</v>
      </c>
      <c r="L4" s="6" t="s">
        <v>8</v>
      </c>
      <c r="M4" s="6" t="s">
        <v>9</v>
      </c>
      <c r="N4" s="6" t="s">
        <v>10</v>
      </c>
      <c r="O4" s="6" t="s">
        <v>11</v>
      </c>
      <c r="P4" s="6" t="s">
        <v>12</v>
      </c>
      <c r="Q4" s="6" t="s">
        <v>13</v>
      </c>
      <c r="R4" s="6" t="s">
        <v>14</v>
      </c>
      <c r="S4" s="6" t="s">
        <v>15</v>
      </c>
      <c r="T4" s="6" t="s">
        <v>16</v>
      </c>
      <c r="U4" s="7" t="s">
        <v>17</v>
      </c>
      <c r="V4" s="8"/>
      <c r="W4" s="8"/>
      <c r="X4" s="8"/>
      <c r="Y4" s="9"/>
    </row>
    <row r="5" spans="2:25" ht="15.75" x14ac:dyDescent="0.25">
      <c r="B5" s="18" t="s">
        <v>22</v>
      </c>
      <c r="C5" s="8">
        <v>1525</v>
      </c>
      <c r="D5" s="8">
        <v>1600</v>
      </c>
      <c r="E5" s="8">
        <v>1600</v>
      </c>
      <c r="F5" s="8">
        <v>1500</v>
      </c>
      <c r="G5" s="8">
        <v>-1</v>
      </c>
      <c r="H5" s="8">
        <v>-1</v>
      </c>
      <c r="I5" s="8">
        <v>-1</v>
      </c>
      <c r="J5" s="8">
        <v>-1</v>
      </c>
      <c r="K5" s="8">
        <v>-1</v>
      </c>
      <c r="L5" s="8"/>
      <c r="M5" s="8"/>
      <c r="N5" s="8"/>
      <c r="O5" s="8"/>
      <c r="P5" s="8"/>
      <c r="Q5" s="8"/>
      <c r="R5" s="8"/>
      <c r="S5" s="8"/>
      <c r="T5" s="8"/>
      <c r="U5" s="8"/>
      <c r="V5" s="13">
        <f>SUMPRODUCT(C$3:U$3,C5:U5)</f>
        <v>31489.999999999909</v>
      </c>
      <c r="W5" s="8"/>
      <c r="X5" s="8"/>
      <c r="Y5" s="9"/>
    </row>
    <row r="6" spans="2:25" x14ac:dyDescent="0.25">
      <c r="B6" s="16" t="s">
        <v>40</v>
      </c>
      <c r="C6" s="8"/>
      <c r="D6" s="8"/>
      <c r="E6" s="8"/>
      <c r="F6" s="8"/>
      <c r="G6" s="8">
        <v>1</v>
      </c>
      <c r="H6" s="8">
        <v>1</v>
      </c>
      <c r="I6" s="8">
        <v>1</v>
      </c>
      <c r="J6" s="8">
        <v>1</v>
      </c>
      <c r="K6" s="8">
        <v>1</v>
      </c>
      <c r="L6" s="8"/>
      <c r="M6" s="8"/>
      <c r="N6" s="8"/>
      <c r="O6" s="8"/>
      <c r="P6" s="8"/>
      <c r="Q6" s="8"/>
      <c r="R6" s="8"/>
      <c r="S6" s="8"/>
      <c r="T6" s="8"/>
      <c r="U6" s="8"/>
      <c r="V6" s="8">
        <f t="shared" ref="V6:V22" si="0">SUMPRODUCT(C$3:U$3,C6:U6)</f>
        <v>38969.999999999978</v>
      </c>
      <c r="W6" s="8" t="s">
        <v>19</v>
      </c>
      <c r="X6" s="8">
        <v>40000</v>
      </c>
      <c r="Y6" s="9"/>
    </row>
    <row r="7" spans="2:25" x14ac:dyDescent="0.25">
      <c r="B7" s="16" t="s">
        <v>23</v>
      </c>
      <c r="C7" s="8">
        <v>200</v>
      </c>
      <c r="D7" s="8">
        <v>200</v>
      </c>
      <c r="E7" s="8">
        <v>120</v>
      </c>
      <c r="F7" s="8">
        <v>280</v>
      </c>
      <c r="G7" s="8">
        <v>-1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>
        <f t="shared" si="0"/>
        <v>-1.1823431123048067E-11</v>
      </c>
      <c r="W7" s="8" t="s">
        <v>20</v>
      </c>
      <c r="X7" s="8">
        <v>0</v>
      </c>
      <c r="Y7" s="9"/>
    </row>
    <row r="8" spans="2:25" x14ac:dyDescent="0.25">
      <c r="B8" s="16" t="s">
        <v>24</v>
      </c>
      <c r="C8" s="8">
        <v>270</v>
      </c>
      <c r="D8" s="8">
        <v>150</v>
      </c>
      <c r="E8" s="8">
        <v>300</v>
      </c>
      <c r="F8" s="8">
        <v>210</v>
      </c>
      <c r="G8" s="8"/>
      <c r="H8" s="8">
        <v>-1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>
        <f t="shared" si="0"/>
        <v>-1.2732925824820995E-11</v>
      </c>
      <c r="W8" s="8" t="s">
        <v>20</v>
      </c>
      <c r="X8" s="8">
        <v>0</v>
      </c>
      <c r="Y8" s="9"/>
    </row>
    <row r="9" spans="2:25" x14ac:dyDescent="0.25">
      <c r="B9" s="16" t="s">
        <v>25</v>
      </c>
      <c r="C9" s="8"/>
      <c r="D9" s="8"/>
      <c r="E9" s="8"/>
      <c r="F9" s="8"/>
      <c r="G9" s="8"/>
      <c r="H9" s="8"/>
      <c r="I9" s="8">
        <v>1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>
        <f t="shared" si="0"/>
        <v>7500</v>
      </c>
      <c r="W9" s="8" t="s">
        <v>20</v>
      </c>
      <c r="X9" s="8">
        <v>7500</v>
      </c>
      <c r="Y9" s="9"/>
    </row>
    <row r="10" spans="2:25" x14ac:dyDescent="0.25">
      <c r="B10" s="16" t="s">
        <v>26</v>
      </c>
      <c r="C10" s="8">
        <v>183</v>
      </c>
      <c r="D10" s="8">
        <v>80</v>
      </c>
      <c r="E10" s="8">
        <v>320</v>
      </c>
      <c r="F10" s="8">
        <v>160</v>
      </c>
      <c r="G10" s="8"/>
      <c r="H10" s="8"/>
      <c r="I10" s="8"/>
      <c r="J10" s="8">
        <v>-1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>
        <f t="shared" si="0"/>
        <v>-1.8189894035458565E-12</v>
      </c>
      <c r="W10" s="8" t="s">
        <v>20</v>
      </c>
      <c r="X10" s="8">
        <v>0</v>
      </c>
      <c r="Y10" s="9"/>
    </row>
    <row r="11" spans="2:25" x14ac:dyDescent="0.25">
      <c r="B11" s="16" t="s">
        <v>27</v>
      </c>
      <c r="C11" s="8"/>
      <c r="D11" s="8"/>
      <c r="E11" s="8"/>
      <c r="F11" s="8"/>
      <c r="G11" s="8"/>
      <c r="H11" s="8"/>
      <c r="I11" s="8"/>
      <c r="J11" s="8"/>
      <c r="K11" s="8">
        <v>-1</v>
      </c>
      <c r="L11" s="8">
        <v>770</v>
      </c>
      <c r="M11" s="8">
        <v>922</v>
      </c>
      <c r="N11" s="8">
        <v>616</v>
      </c>
      <c r="O11" s="8">
        <v>292.5</v>
      </c>
      <c r="P11" s="8">
        <v>351</v>
      </c>
      <c r="Q11" s="8">
        <v>487.5</v>
      </c>
      <c r="R11" s="8">
        <v>728</v>
      </c>
      <c r="S11" s="8">
        <v>1137.5</v>
      </c>
      <c r="T11" s="8">
        <v>910</v>
      </c>
      <c r="U11" s="8">
        <v>442</v>
      </c>
      <c r="V11" s="8">
        <f>SUMPRODUCT(C$3:U$3,C11:U11)</f>
        <v>2.7284841053187847E-12</v>
      </c>
      <c r="W11" s="8" t="s">
        <v>20</v>
      </c>
      <c r="X11" s="8">
        <v>0</v>
      </c>
      <c r="Y11" s="9"/>
    </row>
    <row r="12" spans="2:25" x14ac:dyDescent="0.25">
      <c r="B12" s="16" t="s">
        <v>28</v>
      </c>
      <c r="C12" s="8">
        <v>-1</v>
      </c>
      <c r="D12" s="8"/>
      <c r="E12" s="8"/>
      <c r="F12" s="8"/>
      <c r="G12" s="8"/>
      <c r="H12" s="8"/>
      <c r="I12" s="8"/>
      <c r="J12" s="8"/>
      <c r="K12" s="8"/>
      <c r="L12" s="8">
        <v>20</v>
      </c>
      <c r="M12" s="8">
        <v>10</v>
      </c>
      <c r="N12" s="8">
        <v>17.5</v>
      </c>
      <c r="O12" s="8"/>
      <c r="P12" s="8"/>
      <c r="Q12" s="8"/>
      <c r="R12" s="8"/>
      <c r="S12" s="8"/>
      <c r="T12" s="8"/>
      <c r="U12" s="8"/>
      <c r="V12" s="8">
        <f t="shared" si="0"/>
        <v>2.4868995751603507E-14</v>
      </c>
      <c r="W12" s="8" t="s">
        <v>20</v>
      </c>
      <c r="X12" s="8">
        <v>0</v>
      </c>
      <c r="Y12" s="9"/>
    </row>
    <row r="13" spans="2:25" x14ac:dyDescent="0.25">
      <c r="B13" s="16" t="s">
        <v>29</v>
      </c>
      <c r="C13" s="8"/>
      <c r="D13" s="8">
        <v>-1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>
        <v>10.4</v>
      </c>
      <c r="P13" s="8">
        <v>5.2</v>
      </c>
      <c r="Q13" s="8">
        <v>9.1</v>
      </c>
      <c r="R13" s="8"/>
      <c r="S13" s="8"/>
      <c r="T13" s="8"/>
      <c r="U13" s="8"/>
      <c r="V13" s="8">
        <f t="shared" si="0"/>
        <v>3.0198066269804258E-14</v>
      </c>
      <c r="W13" s="8" t="s">
        <v>20</v>
      </c>
      <c r="X13" s="8">
        <v>0</v>
      </c>
      <c r="Y13" s="9"/>
    </row>
    <row r="14" spans="2:25" ht="28.5" customHeight="1" x14ac:dyDescent="0.25">
      <c r="B14" s="16" t="s">
        <v>30</v>
      </c>
      <c r="C14" s="8"/>
      <c r="D14" s="8"/>
      <c r="E14" s="8">
        <v>-1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>
        <v>28</v>
      </c>
      <c r="S14" s="8">
        <v>14</v>
      </c>
      <c r="T14" s="8">
        <v>24.5</v>
      </c>
      <c r="U14" s="8"/>
      <c r="V14" s="8">
        <f t="shared" si="0"/>
        <v>2.3092638912203256E-14</v>
      </c>
      <c r="W14" s="8" t="s">
        <v>20</v>
      </c>
      <c r="X14" s="8">
        <v>0</v>
      </c>
      <c r="Y14" s="9"/>
    </row>
    <row r="15" spans="2:25" ht="15.75" customHeight="1" x14ac:dyDescent="0.25">
      <c r="B15" s="16" t="s">
        <v>31</v>
      </c>
      <c r="C15" s="8"/>
      <c r="D15" s="8"/>
      <c r="E15" s="8"/>
      <c r="F15" s="8">
        <v>-1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>
        <v>2</v>
      </c>
      <c r="V15" s="8">
        <f t="shared" si="0"/>
        <v>-2.6645352591003757E-15</v>
      </c>
      <c r="W15" s="8" t="s">
        <v>20</v>
      </c>
      <c r="X15" s="8">
        <v>0</v>
      </c>
      <c r="Y15" s="9"/>
    </row>
    <row r="16" spans="2:25" x14ac:dyDescent="0.25">
      <c r="B16" s="16" t="s">
        <v>32</v>
      </c>
      <c r="C16" s="8"/>
      <c r="D16" s="8"/>
      <c r="E16" s="8"/>
      <c r="F16" s="8"/>
      <c r="G16" s="8"/>
      <c r="H16" s="8"/>
      <c r="I16" s="8"/>
      <c r="J16" s="8"/>
      <c r="K16" s="8"/>
      <c r="L16" s="8">
        <v>1</v>
      </c>
      <c r="M16" s="8"/>
      <c r="N16" s="8"/>
      <c r="O16" s="8">
        <v>1</v>
      </c>
      <c r="P16" s="8"/>
      <c r="Q16" s="8"/>
      <c r="R16" s="8">
        <v>1</v>
      </c>
      <c r="S16" s="8"/>
      <c r="T16" s="8"/>
      <c r="U16" s="8"/>
      <c r="V16" s="8">
        <f t="shared" si="0"/>
        <v>1</v>
      </c>
      <c r="W16" s="8" t="s">
        <v>20</v>
      </c>
      <c r="X16" s="8">
        <v>1</v>
      </c>
      <c r="Y16" s="9"/>
    </row>
    <row r="17" spans="2:25" x14ac:dyDescent="0.25">
      <c r="B17" s="16" t="s">
        <v>33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>
        <v>1</v>
      </c>
      <c r="N17" s="8"/>
      <c r="O17" s="8"/>
      <c r="P17" s="8">
        <v>1</v>
      </c>
      <c r="Q17" s="8"/>
      <c r="R17" s="8"/>
      <c r="S17" s="8">
        <v>1</v>
      </c>
      <c r="T17" s="8"/>
      <c r="U17" s="8"/>
      <c r="V17" s="8">
        <f t="shared" si="0"/>
        <v>1</v>
      </c>
      <c r="W17" s="8" t="s">
        <v>20</v>
      </c>
      <c r="X17" s="8">
        <v>1</v>
      </c>
      <c r="Y17" s="9"/>
    </row>
    <row r="18" spans="2:25" x14ac:dyDescent="0.25">
      <c r="B18" s="16" t="s">
        <v>34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>
        <v>1</v>
      </c>
      <c r="O18" s="8"/>
      <c r="P18" s="8"/>
      <c r="Q18" s="8">
        <v>1</v>
      </c>
      <c r="R18" s="8"/>
      <c r="S18" s="8"/>
      <c r="T18" s="8">
        <v>1</v>
      </c>
      <c r="U18" s="8"/>
      <c r="V18" s="8">
        <f t="shared" si="0"/>
        <v>1</v>
      </c>
      <c r="W18" s="8" t="s">
        <v>20</v>
      </c>
      <c r="X18" s="8">
        <v>1</v>
      </c>
      <c r="Y18" s="9"/>
    </row>
    <row r="19" spans="2:25" x14ac:dyDescent="0.25">
      <c r="B19" s="16" t="s">
        <v>35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>
        <v>1</v>
      </c>
      <c r="V19" s="8">
        <f t="shared" si="0"/>
        <v>1</v>
      </c>
      <c r="W19" s="8" t="s">
        <v>20</v>
      </c>
      <c r="X19" s="8">
        <v>1</v>
      </c>
      <c r="Y19" s="9"/>
    </row>
    <row r="20" spans="2:25" x14ac:dyDescent="0.25">
      <c r="B20" s="16" t="s">
        <v>36</v>
      </c>
      <c r="C20" s="8"/>
      <c r="D20" s="8"/>
      <c r="E20" s="8"/>
      <c r="F20" s="8"/>
      <c r="G20" s="8"/>
      <c r="H20" s="8"/>
      <c r="I20" s="8"/>
      <c r="J20" s="8"/>
      <c r="K20" s="8"/>
      <c r="L20" s="8">
        <v>1</v>
      </c>
      <c r="M20" s="8">
        <v>1</v>
      </c>
      <c r="N20" s="8">
        <v>1</v>
      </c>
      <c r="O20" s="8"/>
      <c r="P20" s="8"/>
      <c r="Q20" s="8"/>
      <c r="R20" s="8"/>
      <c r="S20" s="8"/>
      <c r="T20" s="8"/>
      <c r="U20" s="8"/>
      <c r="V20" s="8">
        <f>SUMPRODUCT(C$3:U$3,C20:U20)</f>
        <v>1</v>
      </c>
      <c r="W20" s="8" t="s">
        <v>20</v>
      </c>
      <c r="X20" s="8">
        <v>1</v>
      </c>
      <c r="Y20" s="9"/>
    </row>
    <row r="21" spans="2:25" x14ac:dyDescent="0.25">
      <c r="B21" s="16" t="s">
        <v>37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>
        <v>1</v>
      </c>
      <c r="P21" s="8">
        <v>1</v>
      </c>
      <c r="Q21" s="8">
        <v>1</v>
      </c>
      <c r="R21" s="8"/>
      <c r="S21" s="8"/>
      <c r="T21" s="8"/>
      <c r="U21" s="8"/>
      <c r="V21" s="8">
        <f t="shared" si="0"/>
        <v>1</v>
      </c>
      <c r="W21" s="8" t="s">
        <v>20</v>
      </c>
      <c r="X21" s="8">
        <v>1</v>
      </c>
      <c r="Y21" s="9"/>
    </row>
    <row r="22" spans="2:25" ht="15.75" thickBot="1" x14ac:dyDescent="0.3">
      <c r="B22" s="17" t="s">
        <v>38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>
        <v>1</v>
      </c>
      <c r="S22" s="6">
        <v>1</v>
      </c>
      <c r="T22" s="6">
        <v>1</v>
      </c>
      <c r="U22" s="6"/>
      <c r="V22" s="6">
        <f t="shared" si="0"/>
        <v>1</v>
      </c>
      <c r="W22" s="6" t="s">
        <v>20</v>
      </c>
      <c r="X22" s="6">
        <v>1</v>
      </c>
      <c r="Y22" s="7"/>
    </row>
  </sheetData>
  <mergeCells count="1">
    <mergeCell ref="F1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X22"/>
  <sheetViews>
    <sheetView tabSelected="1" workbookViewId="0">
      <selection activeCell="Y16" sqref="Y16"/>
    </sheetView>
  </sheetViews>
  <sheetFormatPr defaultRowHeight="15" x14ac:dyDescent="0.25"/>
  <cols>
    <col min="1" max="1" width="4" customWidth="1"/>
    <col min="2" max="2" width="16" style="1" bestFit="1" customWidth="1"/>
    <col min="3" max="7" width="5" bestFit="1" customWidth="1"/>
    <col min="8" max="8" width="6" bestFit="1" customWidth="1"/>
    <col min="9" max="9" width="5" bestFit="1" customWidth="1"/>
    <col min="10" max="10" width="7" bestFit="1" customWidth="1"/>
    <col min="11" max="11" width="5" bestFit="1" customWidth="1"/>
    <col min="12" max="13" width="4.140625" bestFit="1" customWidth="1"/>
    <col min="14" max="14" width="5" bestFit="1" customWidth="1"/>
    <col min="15" max="15" width="6" bestFit="1" customWidth="1"/>
    <col min="16" max="16" width="4.140625" bestFit="1" customWidth="1"/>
    <col min="17" max="17" width="6" bestFit="1" customWidth="1"/>
    <col min="18" max="18" width="4.140625" bestFit="1" customWidth="1"/>
    <col min="19" max="19" width="7" bestFit="1" customWidth="1"/>
    <col min="20" max="20" width="5" bestFit="1" customWidth="1"/>
    <col min="21" max="21" width="4.140625" bestFit="1" customWidth="1"/>
    <col min="22" max="22" width="12.7109375" bestFit="1" customWidth="1"/>
    <col min="23" max="23" width="3" bestFit="1" customWidth="1"/>
    <col min="24" max="24" width="6" bestFit="1" customWidth="1"/>
  </cols>
  <sheetData>
    <row r="1" spans="2:24" x14ac:dyDescent="0.25">
      <c r="H1" s="20" t="s">
        <v>42</v>
      </c>
      <c r="I1" s="21"/>
      <c r="J1" s="21"/>
      <c r="K1" s="21"/>
      <c r="L1" s="21"/>
      <c r="M1" s="22"/>
    </row>
    <row r="2" spans="2:24" ht="15.75" thickBot="1" x14ac:dyDescent="0.3">
      <c r="H2" s="23"/>
      <c r="I2" s="19"/>
      <c r="J2" s="19"/>
      <c r="K2" s="19"/>
      <c r="L2" s="19"/>
      <c r="M2" s="24"/>
    </row>
    <row r="3" spans="2:24" x14ac:dyDescent="0.25">
      <c r="B3" s="14"/>
      <c r="C3" s="2">
        <v>17.5</v>
      </c>
      <c r="D3" s="2">
        <v>10.399999999999995</v>
      </c>
      <c r="E3" s="2">
        <v>13.999999999999998</v>
      </c>
      <c r="F3" s="2">
        <v>2</v>
      </c>
      <c r="G3" s="2">
        <v>7820.0000000000036</v>
      </c>
      <c r="H3" s="2">
        <v>10904.999999999996</v>
      </c>
      <c r="I3" s="2">
        <v>7500</v>
      </c>
      <c r="J3" s="2">
        <v>8834.4999999999964</v>
      </c>
      <c r="K3" s="2">
        <v>2488.0000000000009</v>
      </c>
      <c r="L3" s="2">
        <v>0</v>
      </c>
      <c r="M3" s="2">
        <v>0</v>
      </c>
      <c r="N3" s="2">
        <v>1</v>
      </c>
      <c r="O3" s="2">
        <v>1</v>
      </c>
      <c r="P3" s="2">
        <v>0</v>
      </c>
      <c r="Q3" s="2">
        <v>0</v>
      </c>
      <c r="R3" s="2">
        <v>0</v>
      </c>
      <c r="S3" s="2">
        <v>1</v>
      </c>
      <c r="T3" s="2">
        <v>0</v>
      </c>
      <c r="U3" s="3">
        <v>1</v>
      </c>
      <c r="V3" s="4"/>
      <c r="W3" s="4"/>
      <c r="X3" s="5"/>
    </row>
    <row r="4" spans="2:24" ht="15.75" thickBot="1" x14ac:dyDescent="0.3">
      <c r="B4" s="15"/>
      <c r="C4" s="6" t="s">
        <v>0</v>
      </c>
      <c r="D4" s="6" t="s">
        <v>1</v>
      </c>
      <c r="E4" s="6" t="s">
        <v>2</v>
      </c>
      <c r="F4" s="6" t="s">
        <v>3</v>
      </c>
      <c r="G4" s="6" t="s">
        <v>4</v>
      </c>
      <c r="H4" s="6" t="s">
        <v>6</v>
      </c>
      <c r="I4" s="6" t="s">
        <v>18</v>
      </c>
      <c r="J4" s="6" t="s">
        <v>5</v>
      </c>
      <c r="K4" s="6" t="s">
        <v>7</v>
      </c>
      <c r="L4" s="6" t="s">
        <v>8</v>
      </c>
      <c r="M4" s="6" t="s">
        <v>9</v>
      </c>
      <c r="N4" s="6" t="s">
        <v>10</v>
      </c>
      <c r="O4" s="6" t="s">
        <v>11</v>
      </c>
      <c r="P4" s="6" t="s">
        <v>12</v>
      </c>
      <c r="Q4" s="6" t="s">
        <v>13</v>
      </c>
      <c r="R4" s="6" t="s">
        <v>14</v>
      </c>
      <c r="S4" s="6" t="s">
        <v>15</v>
      </c>
      <c r="T4" s="6" t="s">
        <v>16</v>
      </c>
      <c r="U4" s="7" t="s">
        <v>17</v>
      </c>
      <c r="V4" s="8"/>
      <c r="W4" s="8"/>
      <c r="X4" s="9"/>
    </row>
    <row r="5" spans="2:24" ht="16.5" thickBot="1" x14ac:dyDescent="0.3">
      <c r="B5" s="18" t="s">
        <v>22</v>
      </c>
      <c r="C5" s="8">
        <v>0</v>
      </c>
      <c r="D5" s="8">
        <v>0</v>
      </c>
      <c r="E5" s="8">
        <v>0</v>
      </c>
      <c r="F5" s="8">
        <v>0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/>
      <c r="M5" s="8"/>
      <c r="N5" s="8"/>
      <c r="O5" s="8"/>
      <c r="P5" s="8"/>
      <c r="Q5" s="8"/>
      <c r="R5" s="8"/>
      <c r="S5" s="8"/>
      <c r="T5" s="8"/>
      <c r="U5" s="8"/>
      <c r="V5" s="10">
        <f>SUMPRODUCT(C$3:U$3,C5:U5)</f>
        <v>37547.5</v>
      </c>
      <c r="W5" s="8"/>
      <c r="X5" s="9"/>
    </row>
    <row r="6" spans="2:24" x14ac:dyDescent="0.25">
      <c r="B6" s="16" t="s">
        <v>39</v>
      </c>
      <c r="C6" s="8">
        <v>1525</v>
      </c>
      <c r="D6" s="8">
        <v>1600</v>
      </c>
      <c r="E6" s="8">
        <v>1600</v>
      </c>
      <c r="F6" s="8">
        <v>1500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>
        <f t="shared" ref="V6:V22" si="0">SUMPRODUCT(C$3:U$3,C6:U6)</f>
        <v>68727.499999999985</v>
      </c>
      <c r="W6" s="8" t="s">
        <v>21</v>
      </c>
      <c r="X6" s="9">
        <v>40000</v>
      </c>
    </row>
    <row r="7" spans="2:24" x14ac:dyDescent="0.25">
      <c r="B7" s="16" t="s">
        <v>23</v>
      </c>
      <c r="C7" s="8">
        <v>200</v>
      </c>
      <c r="D7" s="8">
        <v>200</v>
      </c>
      <c r="E7" s="8">
        <v>120</v>
      </c>
      <c r="F7" s="8">
        <v>280</v>
      </c>
      <c r="G7" s="8">
        <v>-1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>
        <f t="shared" si="0"/>
        <v>-4.5474735088646412E-12</v>
      </c>
      <c r="W7" s="8" t="s">
        <v>20</v>
      </c>
      <c r="X7" s="9">
        <v>0</v>
      </c>
    </row>
    <row r="8" spans="2:24" x14ac:dyDescent="0.25">
      <c r="B8" s="16" t="s">
        <v>24</v>
      </c>
      <c r="C8" s="8">
        <v>270</v>
      </c>
      <c r="D8" s="8">
        <v>150</v>
      </c>
      <c r="E8" s="8">
        <v>300</v>
      </c>
      <c r="F8" s="8">
        <v>210</v>
      </c>
      <c r="G8" s="8"/>
      <c r="H8" s="8">
        <v>-1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>
        <f t="shared" si="0"/>
        <v>1.8189894035458565E-12</v>
      </c>
      <c r="W8" s="8" t="s">
        <v>20</v>
      </c>
      <c r="X8" s="9">
        <v>0</v>
      </c>
    </row>
    <row r="9" spans="2:24" x14ac:dyDescent="0.25">
      <c r="B9" s="16" t="s">
        <v>25</v>
      </c>
      <c r="C9" s="8"/>
      <c r="D9" s="8"/>
      <c r="E9" s="8"/>
      <c r="F9" s="8"/>
      <c r="G9" s="8"/>
      <c r="H9" s="8"/>
      <c r="I9" s="8">
        <v>1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>
        <f t="shared" si="0"/>
        <v>7500</v>
      </c>
      <c r="W9" s="8" t="s">
        <v>20</v>
      </c>
      <c r="X9" s="9">
        <v>7500</v>
      </c>
    </row>
    <row r="10" spans="2:24" x14ac:dyDescent="0.25">
      <c r="B10" s="16" t="s">
        <v>26</v>
      </c>
      <c r="C10" s="8">
        <v>183</v>
      </c>
      <c r="D10" s="8">
        <v>80</v>
      </c>
      <c r="E10" s="8">
        <v>320</v>
      </c>
      <c r="F10" s="8">
        <v>160</v>
      </c>
      <c r="G10" s="8"/>
      <c r="H10" s="8"/>
      <c r="I10" s="8"/>
      <c r="J10" s="8">
        <v>-1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>
        <f t="shared" si="0"/>
        <v>1.8189894035458565E-12</v>
      </c>
      <c r="W10" s="8" t="s">
        <v>20</v>
      </c>
      <c r="X10" s="9">
        <v>0</v>
      </c>
    </row>
    <row r="11" spans="2:24" x14ac:dyDescent="0.25">
      <c r="B11" s="16" t="s">
        <v>27</v>
      </c>
      <c r="C11" s="8"/>
      <c r="D11" s="8"/>
      <c r="E11" s="8"/>
      <c r="F11" s="8"/>
      <c r="G11" s="8"/>
      <c r="H11" s="8"/>
      <c r="I11" s="8"/>
      <c r="J11" s="8"/>
      <c r="K11" s="8">
        <v>-1</v>
      </c>
      <c r="L11" s="8">
        <v>770</v>
      </c>
      <c r="M11" s="8">
        <v>922</v>
      </c>
      <c r="N11" s="8">
        <v>616</v>
      </c>
      <c r="O11" s="8">
        <v>292.5</v>
      </c>
      <c r="P11" s="8">
        <v>351</v>
      </c>
      <c r="Q11" s="8">
        <v>487.5</v>
      </c>
      <c r="R11" s="8">
        <v>728</v>
      </c>
      <c r="S11" s="8">
        <v>1137.5</v>
      </c>
      <c r="T11" s="8">
        <v>910</v>
      </c>
      <c r="U11" s="8">
        <v>442</v>
      </c>
      <c r="V11" s="8">
        <f>SUMPRODUCT(C$3:U$3,C11:U11)</f>
        <v>-9.0949470177292824E-13</v>
      </c>
      <c r="W11" s="8" t="s">
        <v>20</v>
      </c>
      <c r="X11" s="9">
        <v>0</v>
      </c>
    </row>
    <row r="12" spans="2:24" x14ac:dyDescent="0.25">
      <c r="B12" s="16" t="s">
        <v>28</v>
      </c>
      <c r="C12" s="8">
        <v>-1</v>
      </c>
      <c r="D12" s="8"/>
      <c r="E12" s="8"/>
      <c r="F12" s="8"/>
      <c r="G12" s="8"/>
      <c r="H12" s="8"/>
      <c r="I12" s="8"/>
      <c r="J12" s="8"/>
      <c r="K12" s="8"/>
      <c r="L12" s="8">
        <v>20</v>
      </c>
      <c r="M12" s="8">
        <v>10</v>
      </c>
      <c r="N12" s="8">
        <v>17.5</v>
      </c>
      <c r="O12" s="8"/>
      <c r="P12" s="8"/>
      <c r="Q12" s="8"/>
      <c r="R12" s="8"/>
      <c r="S12" s="8"/>
      <c r="T12" s="8"/>
      <c r="U12" s="8"/>
      <c r="V12" s="8">
        <f t="shared" si="0"/>
        <v>0</v>
      </c>
      <c r="W12" s="8" t="s">
        <v>20</v>
      </c>
      <c r="X12" s="9">
        <v>0</v>
      </c>
    </row>
    <row r="13" spans="2:24" x14ac:dyDescent="0.25">
      <c r="B13" s="16" t="s">
        <v>29</v>
      </c>
      <c r="C13" s="8"/>
      <c r="D13" s="8">
        <v>-1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>
        <v>10.4</v>
      </c>
      <c r="P13" s="8">
        <v>5.2</v>
      </c>
      <c r="Q13" s="8">
        <v>9.1</v>
      </c>
      <c r="R13" s="8"/>
      <c r="S13" s="8"/>
      <c r="T13" s="8"/>
      <c r="U13" s="8"/>
      <c r="V13" s="8">
        <f t="shared" si="0"/>
        <v>5.3290705182007514E-15</v>
      </c>
      <c r="W13" s="8" t="s">
        <v>20</v>
      </c>
      <c r="X13" s="9">
        <v>0</v>
      </c>
    </row>
    <row r="14" spans="2:24" x14ac:dyDescent="0.25">
      <c r="B14" s="16" t="s">
        <v>30</v>
      </c>
      <c r="C14" s="8"/>
      <c r="D14" s="8"/>
      <c r="E14" s="8">
        <v>-1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>
        <v>28</v>
      </c>
      <c r="S14" s="8">
        <v>14</v>
      </c>
      <c r="T14" s="8">
        <v>24.5</v>
      </c>
      <c r="U14" s="8"/>
      <c r="V14" s="8">
        <f t="shared" si="0"/>
        <v>1.7763568394002505E-15</v>
      </c>
      <c r="W14" s="8" t="s">
        <v>20</v>
      </c>
      <c r="X14" s="9">
        <v>0</v>
      </c>
    </row>
    <row r="15" spans="2:24" ht="23.25" x14ac:dyDescent="0.25">
      <c r="B15" s="16" t="s">
        <v>31</v>
      </c>
      <c r="C15" s="8"/>
      <c r="D15" s="8"/>
      <c r="E15" s="8"/>
      <c r="F15" s="8">
        <v>-1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>
        <v>2</v>
      </c>
      <c r="V15" s="8">
        <f t="shared" si="0"/>
        <v>0</v>
      </c>
      <c r="W15" s="8" t="s">
        <v>20</v>
      </c>
      <c r="X15" s="9">
        <v>0</v>
      </c>
    </row>
    <row r="16" spans="2:24" x14ac:dyDescent="0.25">
      <c r="B16" s="16" t="s">
        <v>32</v>
      </c>
      <c r="C16" s="8"/>
      <c r="D16" s="8"/>
      <c r="E16" s="8"/>
      <c r="F16" s="8"/>
      <c r="G16" s="8"/>
      <c r="H16" s="8"/>
      <c r="I16" s="8"/>
      <c r="J16" s="8"/>
      <c r="K16" s="8"/>
      <c r="L16" s="8">
        <v>1</v>
      </c>
      <c r="M16" s="8"/>
      <c r="N16" s="8"/>
      <c r="O16" s="8">
        <v>1</v>
      </c>
      <c r="P16" s="8"/>
      <c r="Q16" s="8"/>
      <c r="R16" s="8">
        <v>1</v>
      </c>
      <c r="S16" s="8"/>
      <c r="T16" s="8"/>
      <c r="U16" s="8"/>
      <c r="V16" s="8">
        <f t="shared" si="0"/>
        <v>1</v>
      </c>
      <c r="W16" s="8" t="s">
        <v>20</v>
      </c>
      <c r="X16" s="9">
        <v>1</v>
      </c>
    </row>
    <row r="17" spans="2:24" x14ac:dyDescent="0.25">
      <c r="B17" s="16" t="s">
        <v>33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>
        <v>1</v>
      </c>
      <c r="N17" s="8"/>
      <c r="O17" s="8"/>
      <c r="P17" s="8">
        <v>1</v>
      </c>
      <c r="Q17" s="8"/>
      <c r="R17" s="8"/>
      <c r="S17" s="8">
        <v>1</v>
      </c>
      <c r="T17" s="8"/>
      <c r="U17" s="8"/>
      <c r="V17" s="8">
        <f t="shared" si="0"/>
        <v>1</v>
      </c>
      <c r="W17" s="8" t="s">
        <v>20</v>
      </c>
      <c r="X17" s="9">
        <v>1</v>
      </c>
    </row>
    <row r="18" spans="2:24" x14ac:dyDescent="0.25">
      <c r="B18" s="16" t="s">
        <v>34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>
        <v>1</v>
      </c>
      <c r="O18" s="8"/>
      <c r="P18" s="8"/>
      <c r="Q18" s="8">
        <v>1</v>
      </c>
      <c r="R18" s="8"/>
      <c r="S18" s="8"/>
      <c r="T18" s="8">
        <v>1</v>
      </c>
      <c r="U18" s="8"/>
      <c r="V18" s="8">
        <f t="shared" si="0"/>
        <v>1</v>
      </c>
      <c r="W18" s="8" t="s">
        <v>20</v>
      </c>
      <c r="X18" s="9">
        <v>1</v>
      </c>
    </row>
    <row r="19" spans="2:24" x14ac:dyDescent="0.25">
      <c r="B19" s="16" t="s">
        <v>35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>
        <v>1</v>
      </c>
      <c r="V19" s="8">
        <f t="shared" si="0"/>
        <v>1</v>
      </c>
      <c r="W19" s="8" t="s">
        <v>20</v>
      </c>
      <c r="X19" s="9">
        <v>1</v>
      </c>
    </row>
    <row r="20" spans="2:24" x14ac:dyDescent="0.25">
      <c r="B20" s="16" t="s">
        <v>36</v>
      </c>
      <c r="C20" s="8"/>
      <c r="D20" s="8"/>
      <c r="E20" s="8"/>
      <c r="F20" s="8"/>
      <c r="G20" s="8"/>
      <c r="H20" s="8"/>
      <c r="I20" s="8"/>
      <c r="J20" s="8"/>
      <c r="K20" s="8"/>
      <c r="L20" s="8">
        <v>1</v>
      </c>
      <c r="M20" s="8">
        <v>1</v>
      </c>
      <c r="N20" s="8">
        <v>1</v>
      </c>
      <c r="O20" s="8"/>
      <c r="P20" s="8"/>
      <c r="Q20" s="8"/>
      <c r="R20" s="8"/>
      <c r="S20" s="8"/>
      <c r="T20" s="8"/>
      <c r="U20" s="8"/>
      <c r="V20" s="8">
        <f>SUMPRODUCT(C$3:U$3,C20:U20)</f>
        <v>1</v>
      </c>
      <c r="W20" s="8" t="s">
        <v>20</v>
      </c>
      <c r="X20" s="9">
        <v>1</v>
      </c>
    </row>
    <row r="21" spans="2:24" x14ac:dyDescent="0.25">
      <c r="B21" s="16" t="s">
        <v>37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>
        <v>1</v>
      </c>
      <c r="P21" s="8">
        <v>1</v>
      </c>
      <c r="Q21" s="8">
        <v>1</v>
      </c>
      <c r="R21" s="8"/>
      <c r="S21" s="8"/>
      <c r="T21" s="8"/>
      <c r="U21" s="8"/>
      <c r="V21" s="8">
        <f t="shared" si="0"/>
        <v>1</v>
      </c>
      <c r="W21" s="8" t="s">
        <v>20</v>
      </c>
      <c r="X21" s="9">
        <v>1</v>
      </c>
    </row>
    <row r="22" spans="2:24" ht="15.75" thickBot="1" x14ac:dyDescent="0.3">
      <c r="B22" s="17" t="s">
        <v>38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>
        <v>1</v>
      </c>
      <c r="S22" s="6">
        <v>1</v>
      </c>
      <c r="T22" s="6">
        <v>1</v>
      </c>
      <c r="U22" s="6"/>
      <c r="V22" s="6">
        <f t="shared" si="0"/>
        <v>1</v>
      </c>
      <c r="W22" s="6" t="s">
        <v>20</v>
      </c>
      <c r="X22" s="7">
        <v>1</v>
      </c>
    </row>
  </sheetData>
  <mergeCells count="1">
    <mergeCell ref="H1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Maximisation of Profit</vt:lpstr>
      <vt:lpstr>Minimisation of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2019-12-10T09:55:58Z</dcterms:modified>
</cp:coreProperties>
</file>